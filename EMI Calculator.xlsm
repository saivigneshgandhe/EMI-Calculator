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Academic\MBA\MBA 2nd Semester\Other Interests\VAC\Financial Modelling\"/>
    </mc:Choice>
  </mc:AlternateContent>
  <xr:revisionPtr revIDLastSave="0" documentId="13_ncr:1_{A998900E-27AF-4347-84B1-9F2374E7A26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EMI Calculator" sheetId="1" r:id="rId1"/>
    <sheet name="Schedule" sheetId="3" r:id="rId2"/>
  </sheets>
  <calcPr calcId="191029"/>
  <customWorkbookViews>
    <customWorkbookView name="Final_EMI" guid="{639CEAC3-F304-4E13-869F-FD26EA32E335}" maximized="1" showHorizontalScroll="0" showVerticalScroll="0" showSheetTabs="0" xWindow="-9" yWindow="-9" windowWidth="1938" windowHeight="1038" activeSheetId="1" showFormulaBar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3" l="1"/>
  <c r="G16" i="3" s="1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I15" i="3"/>
  <c r="H15" i="3"/>
  <c r="G15" i="3"/>
  <c r="F15" i="3"/>
  <c r="E15" i="3"/>
  <c r="I14" i="3"/>
  <c r="F14" i="3"/>
  <c r="G14" i="3"/>
  <c r="H14" i="3"/>
  <c r="E14" i="3"/>
  <c r="G5" i="3"/>
  <c r="G10" i="3"/>
  <c r="G7" i="3"/>
  <c r="G3" i="3"/>
  <c r="E21" i="1"/>
  <c r="E19" i="1"/>
  <c r="F16" i="3" l="1"/>
  <c r="I16" i="3" s="1"/>
  <c r="E17" i="3" s="1"/>
  <c r="F11" i="3"/>
  <c r="F10" i="3"/>
  <c r="G17" i="3" l="1"/>
  <c r="F17" i="3" s="1"/>
  <c r="I17" i="3" s="1"/>
  <c r="E18" i="3" s="1"/>
  <c r="G18" i="3" l="1"/>
  <c r="F18" i="3" s="1"/>
  <c r="I18" i="3" s="1"/>
  <c r="E19" i="3" s="1"/>
  <c r="G19" i="3" l="1"/>
  <c r="F19" i="3" s="1"/>
  <c r="I19" i="3" s="1"/>
  <c r="E20" i="3" s="1"/>
  <c r="G20" i="3" l="1"/>
  <c r="F20" i="3" s="1"/>
  <c r="I20" i="3" s="1"/>
  <c r="E21" i="3" s="1"/>
  <c r="G21" i="3" l="1"/>
  <c r="F21" i="3" s="1"/>
  <c r="I21" i="3" s="1"/>
  <c r="E22" i="3" s="1"/>
  <c r="G22" i="3" l="1"/>
  <c r="F22" i="3" s="1"/>
  <c r="I22" i="3"/>
  <c r="E23" i="3" s="1"/>
  <c r="G23" i="3" l="1"/>
  <c r="F23" i="3" s="1"/>
  <c r="I23" i="3" s="1"/>
  <c r="E24" i="3" s="1"/>
  <c r="G24" i="3" l="1"/>
  <c r="F24" i="3" s="1"/>
  <c r="I24" i="3"/>
  <c r="E25" i="3" s="1"/>
  <c r="G25" i="3" l="1"/>
  <c r="F25" i="3" s="1"/>
  <c r="I25" i="3" s="1"/>
  <c r="E26" i="3" s="1"/>
  <c r="G26" i="3" l="1"/>
  <c r="F26" i="3" s="1"/>
  <c r="I26" i="3" s="1"/>
  <c r="E27" i="3" s="1"/>
  <c r="G27" i="3" l="1"/>
  <c r="F27" i="3" s="1"/>
  <c r="I27" i="3"/>
  <c r="E28" i="3" s="1"/>
  <c r="G28" i="3" l="1"/>
  <c r="F28" i="3" s="1"/>
  <c r="I28" i="3"/>
  <c r="E29" i="3" s="1"/>
  <c r="G29" i="3" l="1"/>
  <c r="F29" i="3" s="1"/>
  <c r="I29" i="3" s="1"/>
  <c r="E30" i="3" s="1"/>
  <c r="G30" i="3" l="1"/>
  <c r="F30" i="3" s="1"/>
  <c r="I30" i="3" s="1"/>
  <c r="E31" i="3" s="1"/>
  <c r="G31" i="3" l="1"/>
  <c r="F31" i="3" s="1"/>
  <c r="I31" i="3"/>
  <c r="E32" i="3" s="1"/>
  <c r="G32" i="3" l="1"/>
  <c r="F32" i="3" s="1"/>
  <c r="I32" i="3"/>
  <c r="E33" i="3" s="1"/>
  <c r="G33" i="3" l="1"/>
  <c r="F33" i="3" s="1"/>
  <c r="I33" i="3"/>
</calcChain>
</file>

<file path=xl/sharedStrings.xml><?xml version="1.0" encoding="utf-8"?>
<sst xmlns="http://schemas.openxmlformats.org/spreadsheetml/2006/main" count="20" uniqueCount="14">
  <si>
    <t>EMI CALCULATOR</t>
  </si>
  <si>
    <t>Principal</t>
  </si>
  <si>
    <t>Years</t>
  </si>
  <si>
    <t>Int p.a. (%)</t>
  </si>
  <si>
    <t>EMI</t>
  </si>
  <si>
    <t>Yearly</t>
  </si>
  <si>
    <t>Monthly</t>
  </si>
  <si>
    <t>Int rate p.a. (%)</t>
  </si>
  <si>
    <t>Period</t>
  </si>
  <si>
    <t>Interest</t>
  </si>
  <si>
    <t>Op.Bal</t>
  </si>
  <si>
    <t>Prin-Repaid</t>
  </si>
  <si>
    <t>Cl.Bal</t>
  </si>
  <si>
    <t>Go Back!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</si>
</sst>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0" fillId="2" borderId="1" xfId="0" applyFill="1" applyBorder="1"/>
    <xf numFmtId="0" fontId="1" fillId="2" borderId="0" xfId="0" applyFont="1" applyFill="1"/>
    <xf numFmtId="8" fontId="0" fillId="2" borderId="1" xfId="0" applyNumberForma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8" fillId="5" borderId="14" xfId="0" applyFont="1" applyFill="1" applyBorder="1"/>
    <xf numFmtId="0" fontId="8" fillId="5" borderId="15" xfId="0" applyFont="1" applyFill="1" applyBorder="1"/>
    <xf numFmtId="0" fontId="8" fillId="5" borderId="16" xfId="0" applyFont="1" applyFill="1" applyBorder="1"/>
    <xf numFmtId="0" fontId="5" fillId="6" borderId="0" xfId="0" applyFont="1" applyFill="1"/>
    <xf numFmtId="0" fontId="5" fillId="6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0" xfId="0" applyFont="1"/>
    <xf numFmtId="0" fontId="0" fillId="0" borderId="17" xfId="0" applyBorder="1"/>
    <xf numFmtId="8" fontId="0" fillId="0" borderId="18" xfId="0" applyNumberFormat="1" applyBorder="1"/>
    <xf numFmtId="0" fontId="0" fillId="0" borderId="19" xfId="0" applyBorder="1"/>
    <xf numFmtId="8" fontId="0" fillId="0" borderId="21" xfId="0" applyNumberFormat="1" applyBorder="1"/>
    <xf numFmtId="0" fontId="7" fillId="5" borderId="1" xfId="1" applyFont="1" applyFill="1" applyBorder="1"/>
    <xf numFmtId="8" fontId="0" fillId="0" borderId="0" xfId="0" applyNumberFormat="1"/>
    <xf numFmtId="0" fontId="5" fillId="4" borderId="10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26" fmlaLink="$I$8" max="5000" page="10" val="18"/>
</file>

<file path=xl/ctrlProps/ctrlProp2.xml><?xml version="1.0" encoding="utf-8"?>
<formControlPr xmlns="http://schemas.microsoft.com/office/spreadsheetml/2009/9/main" objectType="Spin" dx="26" fmlaLink="$F$11" max="30000" page="10" val="20"/>
</file>

<file path=xl/ctrlProps/ctrlProp3.xml><?xml version="1.0" encoding="utf-8"?>
<formControlPr xmlns="http://schemas.microsoft.com/office/spreadsheetml/2009/9/main" objectType="Spin" dx="26" fmlaLink="$F$14" max="30000" page="10" val="10"/>
</file>

<file path=xl/ctrlProps/ctrlProp4.xml><?xml version="1.0" encoding="utf-8"?>
<formControlPr xmlns="http://schemas.microsoft.com/office/spreadsheetml/2009/9/main" objectType="Radio" checked="Checked" firstButton="1" fmlaLink="$A$19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7</xdr:row>
          <xdr:rowOff>0</xdr:rowOff>
        </xdr:from>
        <xdr:to>
          <xdr:col>6</xdr:col>
          <xdr:colOff>251460</xdr:colOff>
          <xdr:row>7</xdr:row>
          <xdr:rowOff>182880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10</xdr:row>
          <xdr:rowOff>0</xdr:rowOff>
        </xdr:from>
        <xdr:to>
          <xdr:col>6</xdr:col>
          <xdr:colOff>251460</xdr:colOff>
          <xdr:row>10</xdr:row>
          <xdr:rowOff>182880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13</xdr:row>
          <xdr:rowOff>0</xdr:rowOff>
        </xdr:from>
        <xdr:to>
          <xdr:col>6</xdr:col>
          <xdr:colOff>266700</xdr:colOff>
          <xdr:row>14</xdr:row>
          <xdr:rowOff>22860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335280</xdr:colOff>
          <xdr:row>17</xdr:row>
          <xdr:rowOff>182880</xdr:rowOff>
        </xdr:from>
        <xdr:to>
          <xdr:col>2</xdr:col>
          <xdr:colOff>556260</xdr:colOff>
          <xdr:row>18</xdr:row>
          <xdr:rowOff>175260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19</xdr:row>
          <xdr:rowOff>175260</xdr:rowOff>
        </xdr:from>
        <xdr:to>
          <xdr:col>2</xdr:col>
          <xdr:colOff>563880</xdr:colOff>
          <xdr:row>20</xdr:row>
          <xdr:rowOff>167640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23</xdr:row>
          <xdr:rowOff>30480</xdr:rowOff>
        </xdr:from>
        <xdr:to>
          <xdr:col>6</xdr:col>
          <xdr:colOff>586740</xdr:colOff>
          <xdr:row>24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Loan Amortisation Schedule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2:M25"/>
  <sheetViews>
    <sheetView tabSelected="1" workbookViewId="0">
      <selection activeCell="L13" sqref="L13"/>
    </sheetView>
  </sheetViews>
  <sheetFormatPr defaultRowHeight="14.4" x14ac:dyDescent="0.3"/>
  <cols>
    <col min="5" max="5" width="10.5546875" bestFit="1" customWidth="1"/>
    <col min="13" max="13" width="11.5546875" bestFit="1" customWidth="1"/>
  </cols>
  <sheetData>
    <row r="2" spans="2:13" ht="15" thickBot="1" x14ac:dyDescent="0.35"/>
    <row r="3" spans="2:13" x14ac:dyDescent="0.3">
      <c r="B3" s="2"/>
      <c r="C3" s="3"/>
      <c r="D3" s="3"/>
      <c r="E3" s="3"/>
      <c r="F3" s="3"/>
      <c r="G3" s="3"/>
      <c r="H3" s="4"/>
    </row>
    <row r="4" spans="2:13" ht="15" thickBot="1" x14ac:dyDescent="0.35">
      <c r="B4" s="5"/>
      <c r="C4" s="6"/>
      <c r="D4" s="6"/>
      <c r="E4" s="6"/>
      <c r="F4" s="6"/>
      <c r="G4" s="6"/>
      <c r="H4" s="7"/>
    </row>
    <row r="5" spans="2:13" ht="18.600000000000001" thickBot="1" x14ac:dyDescent="0.4">
      <c r="B5" s="5"/>
      <c r="C5" s="38" t="s">
        <v>0</v>
      </c>
      <c r="D5" s="39"/>
      <c r="E5" s="39"/>
      <c r="F5" s="39"/>
      <c r="G5" s="40"/>
      <c r="H5" s="7"/>
    </row>
    <row r="6" spans="2:13" x14ac:dyDescent="0.3">
      <c r="B6" s="5"/>
      <c r="C6" s="6"/>
      <c r="D6" s="6"/>
      <c r="E6" s="6"/>
      <c r="F6" s="6"/>
      <c r="G6" s="6"/>
      <c r="H6" s="7"/>
    </row>
    <row r="7" spans="2:13" ht="15" thickBot="1" x14ac:dyDescent="0.35">
      <c r="B7" s="5"/>
      <c r="C7" s="6"/>
      <c r="D7" s="6"/>
      <c r="E7" s="6"/>
      <c r="F7" s="6"/>
      <c r="G7" s="6"/>
      <c r="H7" s="7"/>
    </row>
    <row r="8" spans="2:13" ht="16.2" thickBot="1" x14ac:dyDescent="0.35">
      <c r="B8" s="5"/>
      <c r="C8" s="6"/>
      <c r="D8" s="41" t="s">
        <v>1</v>
      </c>
      <c r="E8" s="42"/>
      <c r="F8" s="8">
        <v>100000</v>
      </c>
      <c r="G8" s="6"/>
      <c r="H8" s="7"/>
      <c r="I8" s="1">
        <v>18</v>
      </c>
    </row>
    <row r="9" spans="2:13" x14ac:dyDescent="0.3">
      <c r="B9" s="5"/>
      <c r="C9" s="6"/>
      <c r="D9" s="6"/>
      <c r="E9" s="6"/>
      <c r="F9" s="6"/>
      <c r="G9" s="6"/>
      <c r="H9" s="7"/>
    </row>
    <row r="10" spans="2:13" ht="15" thickBot="1" x14ac:dyDescent="0.35">
      <c r="B10" s="5"/>
      <c r="C10" s="6"/>
      <c r="D10" s="6"/>
      <c r="E10" s="6"/>
      <c r="F10" s="6"/>
      <c r="G10" s="6"/>
      <c r="H10" s="7"/>
    </row>
    <row r="11" spans="2:13" ht="16.2" thickBot="1" x14ac:dyDescent="0.35">
      <c r="B11" s="5"/>
      <c r="C11" s="6"/>
      <c r="D11" s="41" t="s">
        <v>2</v>
      </c>
      <c r="E11" s="42"/>
      <c r="F11" s="8">
        <v>20</v>
      </c>
      <c r="G11" s="6"/>
      <c r="H11" s="7"/>
    </row>
    <row r="12" spans="2:13" x14ac:dyDescent="0.3">
      <c r="B12" s="5"/>
      <c r="C12" s="6"/>
      <c r="D12" s="6"/>
      <c r="E12" s="6"/>
      <c r="F12" s="6"/>
      <c r="G12" s="6"/>
      <c r="H12" s="7"/>
      <c r="M12" s="34"/>
    </row>
    <row r="13" spans="2:13" ht="15" thickBot="1" x14ac:dyDescent="0.35">
      <c r="B13" s="5"/>
      <c r="C13" s="6"/>
      <c r="D13" s="6"/>
      <c r="E13" s="6"/>
      <c r="F13" s="6"/>
      <c r="G13" s="6"/>
      <c r="H13" s="7"/>
    </row>
    <row r="14" spans="2:13" ht="18.600000000000001" thickBot="1" x14ac:dyDescent="0.4">
      <c r="B14" s="5"/>
      <c r="C14" s="6"/>
      <c r="D14" s="43" t="s">
        <v>3</v>
      </c>
      <c r="E14" s="43"/>
      <c r="F14" s="8">
        <v>10</v>
      </c>
      <c r="G14" s="6"/>
      <c r="H14" s="7"/>
    </row>
    <row r="15" spans="2:13" x14ac:dyDescent="0.3">
      <c r="B15" s="5"/>
      <c r="C15" s="6"/>
      <c r="D15" s="6"/>
      <c r="E15" s="6"/>
      <c r="F15" s="6"/>
      <c r="G15" s="6"/>
      <c r="H15" s="7"/>
    </row>
    <row r="16" spans="2:13" ht="15" thickBot="1" x14ac:dyDescent="0.35">
      <c r="B16" s="5"/>
      <c r="C16" s="6"/>
      <c r="D16" s="6"/>
      <c r="E16" s="6"/>
      <c r="F16" s="6"/>
      <c r="G16" s="6"/>
      <c r="H16" s="7"/>
    </row>
    <row r="17" spans="1:8" ht="18.600000000000001" thickBot="1" x14ac:dyDescent="0.4">
      <c r="B17" s="5"/>
      <c r="C17" s="44" t="s">
        <v>4</v>
      </c>
      <c r="D17" s="45"/>
      <c r="E17" s="45"/>
      <c r="F17" s="45"/>
      <c r="G17" s="46"/>
      <c r="H17" s="7"/>
    </row>
    <row r="18" spans="1:8" ht="15" thickBot="1" x14ac:dyDescent="0.35">
      <c r="B18" s="5"/>
      <c r="C18" s="5"/>
      <c r="D18" s="6"/>
      <c r="E18" s="6"/>
      <c r="F18" s="6"/>
      <c r="G18" s="7"/>
      <c r="H18" s="7"/>
    </row>
    <row r="19" spans="1:8" ht="15" thickBot="1" x14ac:dyDescent="0.35">
      <c r="A19" s="1">
        <v>1</v>
      </c>
      <c r="B19" s="5"/>
      <c r="C19" s="5"/>
      <c r="D19" s="9" t="s">
        <v>5</v>
      </c>
      <c r="E19" s="10">
        <f>IF(A19=1,PMT(F14%,F11,-F8)," ")</f>
        <v>11745.962477254579</v>
      </c>
      <c r="F19" s="6"/>
      <c r="G19" s="7"/>
      <c r="H19" s="7"/>
    </row>
    <row r="20" spans="1:8" ht="15" thickBot="1" x14ac:dyDescent="0.35">
      <c r="B20" s="5"/>
      <c r="C20" s="5"/>
      <c r="D20" s="6"/>
      <c r="E20" s="6"/>
      <c r="F20" s="6"/>
      <c r="G20" s="7"/>
      <c r="H20" s="7"/>
    </row>
    <row r="21" spans="1:8" ht="15" thickBot="1" x14ac:dyDescent="0.35">
      <c r="B21" s="5"/>
      <c r="C21" s="5"/>
      <c r="D21" s="9" t="s">
        <v>6</v>
      </c>
      <c r="E21" s="10" t="str">
        <f>IF(A19=2,PMT(F14%/12,F11*12,-F8)," ")</f>
        <v xml:space="preserve"> </v>
      </c>
      <c r="F21" s="6"/>
      <c r="G21" s="7"/>
      <c r="H21" s="7"/>
    </row>
    <row r="22" spans="1:8" ht="15" thickBot="1" x14ac:dyDescent="0.35">
      <c r="B22" s="5"/>
      <c r="C22" s="11"/>
      <c r="D22" s="12"/>
      <c r="E22" s="12"/>
      <c r="F22" s="12"/>
      <c r="G22" s="13"/>
      <c r="H22" s="7"/>
    </row>
    <row r="23" spans="1:8" ht="15" thickBot="1" x14ac:dyDescent="0.35">
      <c r="B23" s="5"/>
      <c r="C23" s="6"/>
      <c r="D23" s="6"/>
      <c r="E23" s="6"/>
      <c r="F23" s="6"/>
      <c r="G23" s="6"/>
      <c r="H23" s="7"/>
    </row>
    <row r="24" spans="1:8" ht="15" thickBot="1" x14ac:dyDescent="0.35">
      <c r="B24" s="5"/>
      <c r="C24" s="6"/>
      <c r="D24" s="35"/>
      <c r="E24" s="36"/>
      <c r="F24" s="36"/>
      <c r="G24" s="37"/>
      <c r="H24" s="7"/>
    </row>
    <row r="25" spans="1:8" ht="15" thickBot="1" x14ac:dyDescent="0.35">
      <c r="B25" s="11"/>
      <c r="C25" s="12"/>
      <c r="D25" s="12"/>
      <c r="E25" s="12"/>
      <c r="F25" s="12"/>
      <c r="G25" s="12"/>
      <c r="H25" s="13"/>
    </row>
  </sheetData>
  <customSheetViews>
    <customSheetView guid="{639CEAC3-F304-4E13-869F-FD26EA32E335}" showGridLines="0" showRowCol="0">
      <selection activeCell="M12" sqref="M12"/>
      <pageMargins left="0.7" right="0.7" top="0.75" bottom="0.75" header="0.3" footer="0.3"/>
    </customSheetView>
  </customSheetViews>
  <mergeCells count="6">
    <mergeCell ref="D24:G24"/>
    <mergeCell ref="C5:G5"/>
    <mergeCell ref="D8:E8"/>
    <mergeCell ref="D11:E11"/>
    <mergeCell ref="D14:E14"/>
    <mergeCell ref="C17:G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6</xdr:col>
                    <xdr:colOff>30480</xdr:colOff>
                    <xdr:row>7</xdr:row>
                    <xdr:rowOff>0</xdr:rowOff>
                  </from>
                  <to>
                    <xdr:col>6</xdr:col>
                    <xdr:colOff>251460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6</xdr:col>
                    <xdr:colOff>30480</xdr:colOff>
                    <xdr:row>10</xdr:row>
                    <xdr:rowOff>0</xdr:rowOff>
                  </from>
                  <to>
                    <xdr:col>6</xdr:col>
                    <xdr:colOff>251460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pinner 3">
              <controlPr defaultSize="0" autoPict="0">
                <anchor moveWithCells="1" sizeWithCells="1">
                  <from>
                    <xdr:col>6</xdr:col>
                    <xdr:colOff>30480</xdr:colOff>
                    <xdr:row>13</xdr:row>
                    <xdr:rowOff>0</xdr:rowOff>
                  </from>
                  <to>
                    <xdr:col>6</xdr:col>
                    <xdr:colOff>266700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>
                <anchor moveWithCells="1">
                  <from>
                    <xdr:col>2</xdr:col>
                    <xdr:colOff>335280</xdr:colOff>
                    <xdr:row>17</xdr:row>
                    <xdr:rowOff>182880</xdr:rowOff>
                  </from>
                  <to>
                    <xdr:col>2</xdr:col>
                    <xdr:colOff>556260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ption Button 5">
              <controlPr defaultSize="0" autoFill="0" autoLine="0" autoPict="0">
                <anchor moveWithCells="1">
                  <from>
                    <xdr:col>2</xdr:col>
                    <xdr:colOff>342900</xdr:colOff>
                    <xdr:row>19</xdr:row>
                    <xdr:rowOff>175260</xdr:rowOff>
                  </from>
                  <to>
                    <xdr:col>2</xdr:col>
                    <xdr:colOff>563880</xdr:colOff>
                    <xdr:row>20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EMI_Cal">
                <anchor moveWithCells="1" sizeWithCells="1">
                  <from>
                    <xdr:col>3</xdr:col>
                    <xdr:colOff>15240</xdr:colOff>
                    <xdr:row>23</xdr:row>
                    <xdr:rowOff>30480</xdr:rowOff>
                  </from>
                  <to>
                    <xdr:col>6</xdr:col>
                    <xdr:colOff>586740</xdr:colOff>
                    <xdr:row>24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9A0E5-7009-4404-A892-CF8FDDE3B028}">
  <sheetPr codeName="Sheet3"/>
  <dimension ref="A1:J33"/>
  <sheetViews>
    <sheetView showGridLines="0" workbookViewId="0">
      <selection activeCell="J5" sqref="J5"/>
    </sheetView>
  </sheetViews>
  <sheetFormatPr defaultRowHeight="14.4" x14ac:dyDescent="0.3"/>
  <cols>
    <col min="4" max="4" width="8.88671875" style="18"/>
    <col min="5" max="6" width="11.5546875" style="18" bestFit="1" customWidth="1"/>
    <col min="7" max="7" width="8.88671875" style="18"/>
    <col min="8" max="8" width="10.5546875" style="18" bestFit="1" customWidth="1"/>
    <col min="9" max="9" width="12.6640625" style="18" bestFit="1" customWidth="1"/>
    <col min="10" max="10" width="11.5546875" style="18" bestFit="1" customWidth="1"/>
    <col min="11" max="16384" width="8.88671875" style="18"/>
  </cols>
  <sheetData>
    <row r="1" spans="1:10" customFormat="1" x14ac:dyDescent="0.3"/>
    <row r="2" spans="1:10" customFormat="1" ht="15" thickBot="1" x14ac:dyDescent="0.35"/>
    <row r="3" spans="1:10" customFormat="1" ht="15" thickBot="1" x14ac:dyDescent="0.35">
      <c r="E3" s="25" t="s">
        <v>1</v>
      </c>
      <c r="F3" s="26"/>
      <c r="G3" s="27">
        <f>'EMI Calculator'!F8</f>
        <v>100000</v>
      </c>
    </row>
    <row r="4" spans="1:10" customFormat="1" ht="15" thickBot="1" x14ac:dyDescent="0.35"/>
    <row r="5" spans="1:10" customFormat="1" ht="15" thickBot="1" x14ac:dyDescent="0.35">
      <c r="E5" s="25" t="s">
        <v>2</v>
      </c>
      <c r="F5" s="26"/>
      <c r="G5" s="27">
        <f>'EMI Calculator'!F11</f>
        <v>20</v>
      </c>
      <c r="J5" s="33" t="s">
        <v>13</v>
      </c>
    </row>
    <row r="6" spans="1:10" customFormat="1" ht="15" thickBot="1" x14ac:dyDescent="0.35"/>
    <row r="7" spans="1:10" customFormat="1" ht="15" thickBot="1" x14ac:dyDescent="0.35">
      <c r="E7" s="25" t="s">
        <v>7</v>
      </c>
      <c r="F7" s="26"/>
      <c r="G7" s="27">
        <f>'EMI Calculator'!F14</f>
        <v>10</v>
      </c>
    </row>
    <row r="8" spans="1:10" customFormat="1" ht="15" thickBot="1" x14ac:dyDescent="0.35"/>
    <row r="9" spans="1:10" customFormat="1" x14ac:dyDescent="0.3">
      <c r="E9" s="47" t="s">
        <v>4</v>
      </c>
      <c r="F9" s="48"/>
      <c r="G9" s="28"/>
    </row>
    <row r="10" spans="1:10" customFormat="1" x14ac:dyDescent="0.3">
      <c r="E10" s="29" t="s">
        <v>5</v>
      </c>
      <c r="F10" s="30">
        <f>'EMI Calculator'!E19</f>
        <v>11745.962477254579</v>
      </c>
      <c r="G10" s="1">
        <f>'EMI Calculator'!A19</f>
        <v>1</v>
      </c>
    </row>
    <row r="11" spans="1:10" customFormat="1" ht="15" thickBot="1" x14ac:dyDescent="0.35">
      <c r="E11" s="31" t="s">
        <v>6</v>
      </c>
      <c r="F11" s="32" t="str">
        <f>'EMI Calculator'!E21</f>
        <v xml:space="preserve"> </v>
      </c>
    </row>
    <row r="12" spans="1:10" customFormat="1" ht="15" thickBot="1" x14ac:dyDescent="0.35"/>
    <row r="13" spans="1:10" s="17" customFormat="1" x14ac:dyDescent="0.3">
      <c r="A13"/>
      <c r="B13"/>
      <c r="C13"/>
      <c r="D13" s="14" t="s">
        <v>8</v>
      </c>
      <c r="E13" s="15" t="s">
        <v>10</v>
      </c>
      <c r="F13" s="15" t="s">
        <v>11</v>
      </c>
      <c r="G13" s="15" t="s">
        <v>9</v>
      </c>
      <c r="H13" s="15" t="s">
        <v>4</v>
      </c>
      <c r="I13" s="16" t="s">
        <v>12</v>
      </c>
    </row>
    <row r="14" spans="1:10" x14ac:dyDescent="0.3">
      <c r="D14" s="20">
        <v>1</v>
      </c>
      <c r="E14" s="19">
        <f>G3</f>
        <v>100000</v>
      </c>
      <c r="F14" s="19">
        <f>H14-G14</f>
        <v>1745.9624772545794</v>
      </c>
      <c r="G14" s="19">
        <f>IF($G$10=1,E14*$G$7%,E14*$G$7%/12)</f>
        <v>10000</v>
      </c>
      <c r="H14" s="19">
        <f>IF($G$10=1,$F$10,$F$11)</f>
        <v>11745.962477254579</v>
      </c>
      <c r="I14" s="23">
        <f>E14-F14</f>
        <v>98254.037522745421</v>
      </c>
    </row>
    <row r="15" spans="1:10" x14ac:dyDescent="0.3">
      <c r="D15" s="20">
        <v>2</v>
      </c>
      <c r="E15" s="19">
        <f>I14</f>
        <v>98254.037522745421</v>
      </c>
      <c r="F15" s="19">
        <f>H15-G15</f>
        <v>1920.5587249800374</v>
      </c>
      <c r="G15" s="19">
        <f>IF($G$10=1,E15*$G$7%,E15*$G$7%/12)</f>
        <v>9825.4037522745421</v>
      </c>
      <c r="H15" s="19">
        <f>IF($G$10=1,$F$10,$F$11)</f>
        <v>11745.962477254579</v>
      </c>
      <c r="I15" s="23">
        <f>E15-F15</f>
        <v>96333.47879776539</v>
      </c>
    </row>
    <row r="16" spans="1:10" x14ac:dyDescent="0.3">
      <c r="D16" s="20">
        <v>3</v>
      </c>
      <c r="E16" s="19">
        <f t="shared" ref="E16:E33" si="0">I15</f>
        <v>96333.47879776539</v>
      </c>
      <c r="F16" s="19">
        <f t="shared" ref="F16:F33" si="1">H16-G16</f>
        <v>2112.6145974780393</v>
      </c>
      <c r="G16" s="19">
        <f t="shared" ref="G16:G33" si="2">IF($G$10=1,E16*$G$7%,E16*$G$7%/12)</f>
        <v>9633.3478797765401</v>
      </c>
      <c r="H16" s="19">
        <f t="shared" ref="H16:H33" si="3">IF($G$10=1,$F$10,$F$11)</f>
        <v>11745.962477254579</v>
      </c>
      <c r="I16" s="23">
        <f t="shared" ref="I16:I33" si="4">E16-F16</f>
        <v>94220.864200287353</v>
      </c>
    </row>
    <row r="17" spans="4:9" x14ac:dyDescent="0.3">
      <c r="D17" s="20">
        <v>4</v>
      </c>
      <c r="E17" s="19">
        <f t="shared" si="0"/>
        <v>94220.864200287353</v>
      </c>
      <c r="F17" s="19">
        <f t="shared" si="1"/>
        <v>2323.8760572258434</v>
      </c>
      <c r="G17" s="19">
        <f t="shared" si="2"/>
        <v>9422.086420028736</v>
      </c>
      <c r="H17" s="19">
        <f t="shared" si="3"/>
        <v>11745.962477254579</v>
      </c>
      <c r="I17" s="23">
        <f t="shared" si="4"/>
        <v>91896.988143061506</v>
      </c>
    </row>
    <row r="18" spans="4:9" x14ac:dyDescent="0.3">
      <c r="D18" s="20">
        <v>5</v>
      </c>
      <c r="E18" s="19">
        <f t="shared" si="0"/>
        <v>91896.988143061506</v>
      </c>
      <c r="F18" s="19">
        <f t="shared" si="1"/>
        <v>2556.2636629484277</v>
      </c>
      <c r="G18" s="19">
        <f t="shared" si="2"/>
        <v>9189.6988143061517</v>
      </c>
      <c r="H18" s="19">
        <f t="shared" si="3"/>
        <v>11745.962477254579</v>
      </c>
      <c r="I18" s="23">
        <f t="shared" si="4"/>
        <v>89340.724480113073</v>
      </c>
    </row>
    <row r="19" spans="4:9" x14ac:dyDescent="0.3">
      <c r="D19" s="20">
        <v>6</v>
      </c>
      <c r="E19" s="19">
        <f t="shared" si="0"/>
        <v>89340.724480113073</v>
      </c>
      <c r="F19" s="19">
        <f t="shared" si="1"/>
        <v>2811.8900292432718</v>
      </c>
      <c r="G19" s="19">
        <f t="shared" si="2"/>
        <v>8934.0724480113076</v>
      </c>
      <c r="H19" s="19">
        <f t="shared" si="3"/>
        <v>11745.962477254579</v>
      </c>
      <c r="I19" s="23">
        <f t="shared" si="4"/>
        <v>86528.834450869806</v>
      </c>
    </row>
    <row r="20" spans="4:9" x14ac:dyDescent="0.3">
      <c r="D20" s="20">
        <v>7</v>
      </c>
      <c r="E20" s="19">
        <f t="shared" si="0"/>
        <v>86528.834450869806</v>
      </c>
      <c r="F20" s="19">
        <f t="shared" si="1"/>
        <v>3093.0790321675977</v>
      </c>
      <c r="G20" s="19">
        <f t="shared" si="2"/>
        <v>8652.8834450869817</v>
      </c>
      <c r="H20" s="19">
        <f t="shared" si="3"/>
        <v>11745.962477254579</v>
      </c>
      <c r="I20" s="23">
        <f t="shared" si="4"/>
        <v>83435.755418702203</v>
      </c>
    </row>
    <row r="21" spans="4:9" x14ac:dyDescent="0.3">
      <c r="D21" s="20">
        <v>8</v>
      </c>
      <c r="E21" s="19">
        <f t="shared" si="0"/>
        <v>83435.755418702203</v>
      </c>
      <c r="F21" s="19">
        <f t="shared" si="1"/>
        <v>3402.3869353843584</v>
      </c>
      <c r="G21" s="19">
        <f t="shared" si="2"/>
        <v>8343.5755418702211</v>
      </c>
      <c r="H21" s="19">
        <f t="shared" si="3"/>
        <v>11745.962477254579</v>
      </c>
      <c r="I21" s="23">
        <f t="shared" si="4"/>
        <v>80033.368483317841</v>
      </c>
    </row>
    <row r="22" spans="4:9" x14ac:dyDescent="0.3">
      <c r="D22" s="20">
        <v>9</v>
      </c>
      <c r="E22" s="19">
        <f t="shared" si="0"/>
        <v>80033.368483317841</v>
      </c>
      <c r="F22" s="19">
        <f t="shared" si="1"/>
        <v>3742.6256289227949</v>
      </c>
      <c r="G22" s="19">
        <f t="shared" si="2"/>
        <v>8003.3368483317845</v>
      </c>
      <c r="H22" s="19">
        <f t="shared" si="3"/>
        <v>11745.962477254579</v>
      </c>
      <c r="I22" s="23">
        <f t="shared" si="4"/>
        <v>76290.742854395052</v>
      </c>
    </row>
    <row r="23" spans="4:9" x14ac:dyDescent="0.3">
      <c r="D23" s="20">
        <v>10</v>
      </c>
      <c r="E23" s="19">
        <f t="shared" si="0"/>
        <v>76290.742854395052</v>
      </c>
      <c r="F23" s="19">
        <f t="shared" si="1"/>
        <v>4116.8881918150737</v>
      </c>
      <c r="G23" s="19">
        <f t="shared" si="2"/>
        <v>7629.0742854395057</v>
      </c>
      <c r="H23" s="19">
        <f t="shared" si="3"/>
        <v>11745.962477254579</v>
      </c>
      <c r="I23" s="23">
        <f t="shared" si="4"/>
        <v>72173.854662579979</v>
      </c>
    </row>
    <row r="24" spans="4:9" x14ac:dyDescent="0.3">
      <c r="D24" s="20">
        <v>11</v>
      </c>
      <c r="E24" s="19">
        <f t="shared" si="0"/>
        <v>72173.854662579979</v>
      </c>
      <c r="F24" s="19">
        <f t="shared" si="1"/>
        <v>4528.5770109965815</v>
      </c>
      <c r="G24" s="19">
        <f t="shared" si="2"/>
        <v>7217.3854662579979</v>
      </c>
      <c r="H24" s="19">
        <f t="shared" si="3"/>
        <v>11745.962477254579</v>
      </c>
      <c r="I24" s="23">
        <f t="shared" si="4"/>
        <v>67645.277651583398</v>
      </c>
    </row>
    <row r="25" spans="4:9" x14ac:dyDescent="0.3">
      <c r="D25" s="20">
        <v>12</v>
      </c>
      <c r="E25" s="19">
        <f t="shared" si="0"/>
        <v>67645.277651583398</v>
      </c>
      <c r="F25" s="19">
        <f t="shared" si="1"/>
        <v>4981.4347120962393</v>
      </c>
      <c r="G25" s="19">
        <f t="shared" si="2"/>
        <v>6764.5277651583401</v>
      </c>
      <c r="H25" s="19">
        <f t="shared" si="3"/>
        <v>11745.962477254579</v>
      </c>
      <c r="I25" s="23">
        <f t="shared" si="4"/>
        <v>62663.842939487156</v>
      </c>
    </row>
    <row r="26" spans="4:9" x14ac:dyDescent="0.3">
      <c r="D26" s="20">
        <v>13</v>
      </c>
      <c r="E26" s="19">
        <f t="shared" si="0"/>
        <v>62663.842939487156</v>
      </c>
      <c r="F26" s="19">
        <f t="shared" si="1"/>
        <v>5479.5781833058636</v>
      </c>
      <c r="G26" s="19">
        <f t="shared" si="2"/>
        <v>6266.3842939487158</v>
      </c>
      <c r="H26" s="19">
        <f t="shared" si="3"/>
        <v>11745.962477254579</v>
      </c>
      <c r="I26" s="23">
        <f t="shared" si="4"/>
        <v>57184.264756181292</v>
      </c>
    </row>
    <row r="27" spans="4:9" x14ac:dyDescent="0.3">
      <c r="D27" s="20">
        <v>14</v>
      </c>
      <c r="E27" s="19">
        <f t="shared" si="0"/>
        <v>57184.264756181292</v>
      </c>
      <c r="F27" s="19">
        <f t="shared" si="1"/>
        <v>6027.5360016364502</v>
      </c>
      <c r="G27" s="19">
        <f t="shared" si="2"/>
        <v>5718.4264756181292</v>
      </c>
      <c r="H27" s="19">
        <f t="shared" si="3"/>
        <v>11745.962477254579</v>
      </c>
      <c r="I27" s="23">
        <f t="shared" si="4"/>
        <v>51156.728754544842</v>
      </c>
    </row>
    <row r="28" spans="4:9" x14ac:dyDescent="0.3">
      <c r="D28" s="20">
        <v>15</v>
      </c>
      <c r="E28" s="19">
        <f t="shared" si="0"/>
        <v>51156.728754544842</v>
      </c>
      <c r="F28" s="19">
        <f t="shared" si="1"/>
        <v>6630.2896018000947</v>
      </c>
      <c r="G28" s="19">
        <f t="shared" si="2"/>
        <v>5115.6728754544847</v>
      </c>
      <c r="H28" s="19">
        <f t="shared" si="3"/>
        <v>11745.962477254579</v>
      </c>
      <c r="I28" s="23">
        <f t="shared" si="4"/>
        <v>44526.439152744744</v>
      </c>
    </row>
    <row r="29" spans="4:9" x14ac:dyDescent="0.3">
      <c r="D29" s="20">
        <v>16</v>
      </c>
      <c r="E29" s="19">
        <f t="shared" si="0"/>
        <v>44526.439152744744</v>
      </c>
      <c r="F29" s="19">
        <f t="shared" si="1"/>
        <v>7293.3185619801052</v>
      </c>
      <c r="G29" s="19">
        <f t="shared" si="2"/>
        <v>4452.6439152744742</v>
      </c>
      <c r="H29" s="19">
        <f t="shared" si="3"/>
        <v>11745.962477254579</v>
      </c>
      <c r="I29" s="23">
        <f t="shared" si="4"/>
        <v>37233.120590764636</v>
      </c>
    </row>
    <row r="30" spans="4:9" x14ac:dyDescent="0.3">
      <c r="D30" s="20">
        <v>17</v>
      </c>
      <c r="E30" s="19">
        <f t="shared" si="0"/>
        <v>37233.120590764636</v>
      </c>
      <c r="F30" s="19">
        <f t="shared" si="1"/>
        <v>8022.6504181781156</v>
      </c>
      <c r="G30" s="19">
        <f t="shared" si="2"/>
        <v>3723.3120590764638</v>
      </c>
      <c r="H30" s="19">
        <f t="shared" si="3"/>
        <v>11745.962477254579</v>
      </c>
      <c r="I30" s="23">
        <f t="shared" si="4"/>
        <v>29210.47017258652</v>
      </c>
    </row>
    <row r="31" spans="4:9" x14ac:dyDescent="0.3">
      <c r="D31" s="20">
        <v>18</v>
      </c>
      <c r="E31" s="19">
        <f t="shared" si="0"/>
        <v>29210.47017258652</v>
      </c>
      <c r="F31" s="19">
        <f t="shared" si="1"/>
        <v>8824.9154599959274</v>
      </c>
      <c r="G31" s="19">
        <f t="shared" si="2"/>
        <v>2921.047017258652</v>
      </c>
      <c r="H31" s="19">
        <f t="shared" si="3"/>
        <v>11745.962477254579</v>
      </c>
      <c r="I31" s="23">
        <f t="shared" si="4"/>
        <v>20385.554712590594</v>
      </c>
    </row>
    <row r="32" spans="4:9" x14ac:dyDescent="0.3">
      <c r="D32" s="20">
        <v>19</v>
      </c>
      <c r="E32" s="19">
        <f t="shared" si="0"/>
        <v>20385.554712590594</v>
      </c>
      <c r="F32" s="19">
        <f t="shared" si="1"/>
        <v>9707.4070059955193</v>
      </c>
      <c r="G32" s="19">
        <f t="shared" si="2"/>
        <v>2038.5554712590595</v>
      </c>
      <c r="H32" s="19">
        <f t="shared" si="3"/>
        <v>11745.962477254579</v>
      </c>
      <c r="I32" s="23">
        <f t="shared" si="4"/>
        <v>10678.147706595075</v>
      </c>
    </row>
    <row r="33" spans="4:9" ht="15" thickBot="1" x14ac:dyDescent="0.35">
      <c r="D33" s="21">
        <v>20</v>
      </c>
      <c r="E33" s="22">
        <f t="shared" si="0"/>
        <v>10678.147706595075</v>
      </c>
      <c r="F33" s="22">
        <f t="shared" si="1"/>
        <v>10678.147706595071</v>
      </c>
      <c r="G33" s="22">
        <f t="shared" si="2"/>
        <v>1067.8147706595075</v>
      </c>
      <c r="H33" s="22">
        <f t="shared" si="3"/>
        <v>11745.962477254579</v>
      </c>
      <c r="I33" s="24">
        <f t="shared" si="4"/>
        <v>0</v>
      </c>
    </row>
  </sheetData>
  <customSheetViews>
    <customSheetView guid="{639CEAC3-F304-4E13-869F-FD26EA32E335}" showGridLines="0">
      <selection activeCell="J5" sqref="J5"/>
      <pageMargins left="0.7" right="0.7" top="0.75" bottom="0.75" header="0.3" footer="0.3"/>
    </customSheetView>
  </customSheetViews>
  <mergeCells count="1">
    <mergeCell ref="E9:F9"/>
  </mergeCells>
  <hyperlinks>
    <hyperlink ref="J5" location="'EMI Calculator'!A1" display="Back" xr:uid="{A6350554-4316-48F3-9381-416E2105F6F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EMI Calculator</vt:lpstr>
      <vt:lpstr>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 Vignesh</dc:creator>
  <cp:lastModifiedBy>Sai Vignesh</cp:lastModifiedBy>
  <dcterms:created xsi:type="dcterms:W3CDTF">2015-06-05T18:17:20Z</dcterms:created>
  <dcterms:modified xsi:type="dcterms:W3CDTF">2024-11-10T15:23:33Z</dcterms:modified>
</cp:coreProperties>
</file>